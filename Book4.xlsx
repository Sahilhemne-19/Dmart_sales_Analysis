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hemne/Dmart_sales_Analysis/"/>
    </mc:Choice>
  </mc:AlternateContent>
  <xr:revisionPtr revIDLastSave="0" documentId="8_{8440C915-F9A1-B440-B6F8-14BB2A7A536A}" xr6:coauthVersionLast="47" xr6:coauthVersionMax="47" xr10:uidLastSave="{00000000-0000-0000-0000-000000000000}"/>
  <bookViews>
    <workbookView xWindow="1080" yWindow="1160" windowWidth="27640" windowHeight="16660" activeTab="1" xr2:uid="{3C6F3662-5E1F-4440-AE98-28D580B7C54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2" l="1"/>
  <c r="B15" i="2"/>
  <c r="B16" i="2"/>
  <c r="B13" i="2"/>
  <c r="N3" i="2"/>
  <c r="N4" i="2"/>
  <c r="N5" i="2"/>
  <c r="N2" i="2"/>
  <c r="I7" i="2"/>
  <c r="H3" i="2"/>
  <c r="H4" i="2"/>
  <c r="H5" i="2"/>
  <c r="H6" i="2"/>
  <c r="H7" i="2"/>
  <c r="H8" i="2"/>
  <c r="H9" i="2"/>
  <c r="H2" i="2"/>
  <c r="G7" i="2"/>
  <c r="G8" i="2"/>
  <c r="I8" i="2" s="1"/>
  <c r="G9" i="2"/>
  <c r="I9" i="2" s="1"/>
  <c r="F9" i="2"/>
  <c r="F8" i="2"/>
  <c r="F7" i="2"/>
  <c r="F6" i="2"/>
  <c r="G6" i="2" s="1"/>
  <c r="I6" i="2" s="1"/>
  <c r="F5" i="2"/>
  <c r="G5" i="2" s="1"/>
  <c r="I5" i="2" s="1"/>
  <c r="F4" i="2"/>
  <c r="G4" i="2" s="1"/>
  <c r="I4" i="2" s="1"/>
  <c r="F3" i="2"/>
  <c r="G3" i="2" s="1"/>
  <c r="I3" i="2" s="1"/>
  <c r="F2" i="2"/>
  <c r="G2" i="2" s="1"/>
  <c r="I2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<sst xmlns="http://schemas.openxmlformats.org/spreadsheetml/2006/main" count="31" uniqueCount="30">
  <si>
    <t>num1</t>
  </si>
  <si>
    <t xml:space="preserve">num2 </t>
  </si>
  <si>
    <t xml:space="preserve">result </t>
  </si>
  <si>
    <t>Result Handled by IFERROR</t>
  </si>
  <si>
    <t xml:space="preserve">Name </t>
  </si>
  <si>
    <t xml:space="preserve">English </t>
  </si>
  <si>
    <t xml:space="preserve">Maths </t>
  </si>
  <si>
    <t>SST</t>
  </si>
  <si>
    <t xml:space="preserve">Total marks </t>
  </si>
  <si>
    <t xml:space="preserve">Percentage </t>
  </si>
  <si>
    <t>Aman</t>
  </si>
  <si>
    <t>Ahan</t>
  </si>
  <si>
    <t>Ajay</t>
  </si>
  <si>
    <t>Bharat</t>
  </si>
  <si>
    <t>Bhushan</t>
  </si>
  <si>
    <t>Ashwin</t>
  </si>
  <si>
    <t>Chinmay</t>
  </si>
  <si>
    <t>Science</t>
  </si>
  <si>
    <t>result</t>
  </si>
  <si>
    <t>grade</t>
  </si>
  <si>
    <t>Principle</t>
  </si>
  <si>
    <t>years</t>
  </si>
  <si>
    <t>Rate_Interst</t>
  </si>
  <si>
    <t>Amount</t>
  </si>
  <si>
    <t xml:space="preserve">ball colour </t>
  </si>
  <si>
    <t>selected/rejected</t>
  </si>
  <si>
    <t>red</t>
  </si>
  <si>
    <t>blue</t>
  </si>
  <si>
    <t>green</t>
  </si>
  <si>
    <t xml:space="preserve">yellow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</si>
</sst>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Ui-monospac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F133-FBF4-0343-B8E6-3266A2ACDADE}">
  <dimension ref="A1:D15"/>
  <sheetViews>
    <sheetView zoomScale="112" workbookViewId="0">
      <selection activeCell="D3" sqref="D3"/>
    </sheetView>
  </sheetViews>
  <sheetFormatPr baseColWidth="10" defaultRowHeight="16"/>
  <cols>
    <col min="4" max="4" width="23.66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0</v>
      </c>
      <c r="C2" t="e">
        <f>A2/B2</f>
        <v>#DIV/0!</v>
      </c>
      <c r="D2">
        <f>IFERROR(A2/B2,0)</f>
        <v>0</v>
      </c>
    </row>
    <row r="3" spans="1:4">
      <c r="A3">
        <f>A2+1</f>
        <v>11</v>
      </c>
      <c r="B3">
        <f>B2+1</f>
        <v>1</v>
      </c>
      <c r="C3">
        <f t="shared" ref="C3:C15" si="0">A3/B3</f>
        <v>11</v>
      </c>
      <c r="D3">
        <f t="shared" ref="D3:D15" si="1">IFERROR(A3/B3,0)</f>
        <v>11</v>
      </c>
    </row>
    <row r="4" spans="1:4">
      <c r="A4">
        <f t="shared" ref="A4:A15" si="2">A3+1</f>
        <v>12</v>
      </c>
      <c r="B4">
        <f t="shared" ref="B4:B15" si="3">B3+1</f>
        <v>2</v>
      </c>
      <c r="C4">
        <f t="shared" si="0"/>
        <v>6</v>
      </c>
      <c r="D4">
        <f t="shared" si="1"/>
        <v>6</v>
      </c>
    </row>
    <row r="5" spans="1:4">
      <c r="A5">
        <f t="shared" si="2"/>
        <v>13</v>
      </c>
      <c r="B5">
        <f t="shared" si="3"/>
        <v>3</v>
      </c>
      <c r="C5">
        <f t="shared" si="0"/>
        <v>4.333333333333333</v>
      </c>
      <c r="D5">
        <f t="shared" si="1"/>
        <v>4.333333333333333</v>
      </c>
    </row>
    <row r="6" spans="1:4">
      <c r="A6">
        <f t="shared" si="2"/>
        <v>14</v>
      </c>
      <c r="B6">
        <f t="shared" si="3"/>
        <v>4</v>
      </c>
      <c r="C6">
        <f t="shared" si="0"/>
        <v>3.5</v>
      </c>
      <c r="D6">
        <f t="shared" si="1"/>
        <v>3.5</v>
      </c>
    </row>
    <row r="7" spans="1:4">
      <c r="A7">
        <f t="shared" si="2"/>
        <v>15</v>
      </c>
      <c r="B7">
        <f t="shared" si="3"/>
        <v>5</v>
      </c>
      <c r="C7">
        <f t="shared" si="0"/>
        <v>3</v>
      </c>
      <c r="D7">
        <f t="shared" si="1"/>
        <v>3</v>
      </c>
    </row>
    <row r="8" spans="1:4">
      <c r="A8">
        <f t="shared" si="2"/>
        <v>16</v>
      </c>
      <c r="B8">
        <f t="shared" si="3"/>
        <v>6</v>
      </c>
      <c r="C8">
        <f t="shared" si="0"/>
        <v>2.6666666666666665</v>
      </c>
      <c r="D8">
        <f t="shared" si="1"/>
        <v>2.6666666666666665</v>
      </c>
    </row>
    <row r="9" spans="1:4">
      <c r="A9">
        <f t="shared" si="2"/>
        <v>17</v>
      </c>
      <c r="B9">
        <f t="shared" si="3"/>
        <v>7</v>
      </c>
      <c r="C9">
        <f t="shared" si="0"/>
        <v>2.4285714285714284</v>
      </c>
      <c r="D9">
        <f t="shared" si="1"/>
        <v>2.4285714285714284</v>
      </c>
    </row>
    <row r="10" spans="1:4">
      <c r="A10">
        <f t="shared" si="2"/>
        <v>18</v>
      </c>
      <c r="B10">
        <f t="shared" si="3"/>
        <v>8</v>
      </c>
      <c r="C10">
        <f t="shared" si="0"/>
        <v>2.25</v>
      </c>
      <c r="D10">
        <f t="shared" si="1"/>
        <v>2.25</v>
      </c>
    </row>
    <row r="11" spans="1:4">
      <c r="A11">
        <f t="shared" si="2"/>
        <v>19</v>
      </c>
      <c r="B11">
        <f t="shared" si="3"/>
        <v>9</v>
      </c>
      <c r="C11">
        <f t="shared" si="0"/>
        <v>2.1111111111111112</v>
      </c>
      <c r="D11">
        <f t="shared" si="1"/>
        <v>2.1111111111111112</v>
      </c>
    </row>
    <row r="12" spans="1:4">
      <c r="A12">
        <f t="shared" si="2"/>
        <v>20</v>
      </c>
      <c r="B12">
        <f t="shared" si="3"/>
        <v>10</v>
      </c>
      <c r="C12">
        <f t="shared" si="0"/>
        <v>2</v>
      </c>
      <c r="D12">
        <f t="shared" si="1"/>
        <v>2</v>
      </c>
    </row>
    <row r="13" spans="1:4">
      <c r="A13">
        <f t="shared" si="2"/>
        <v>21</v>
      </c>
      <c r="B13">
        <f t="shared" si="3"/>
        <v>11</v>
      </c>
      <c r="C13">
        <f t="shared" si="0"/>
        <v>1.9090909090909092</v>
      </c>
      <c r="D13">
        <f t="shared" si="1"/>
        <v>1.9090909090909092</v>
      </c>
    </row>
    <row r="14" spans="1:4">
      <c r="A14">
        <f t="shared" si="2"/>
        <v>22</v>
      </c>
      <c r="B14">
        <f t="shared" si="3"/>
        <v>12</v>
      </c>
      <c r="C14">
        <f t="shared" si="0"/>
        <v>1.8333333333333333</v>
      </c>
      <c r="D14">
        <f t="shared" si="1"/>
        <v>1.8333333333333333</v>
      </c>
    </row>
    <row r="15" spans="1:4">
      <c r="A15">
        <f t="shared" si="2"/>
        <v>23</v>
      </c>
      <c r="B15">
        <f t="shared" si="3"/>
        <v>13</v>
      </c>
      <c r="C15">
        <f t="shared" si="0"/>
        <v>1.7692307692307692</v>
      </c>
      <c r="D15">
        <f t="shared" si="1"/>
        <v>1.7692307692307692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B780-258B-0844-96A4-676E8181F820}">
  <dimension ref="A1:N16"/>
  <sheetViews>
    <sheetView tabSelected="1" zoomScale="164" workbookViewId="0">
      <selection activeCell="B13" sqref="B13"/>
    </sheetView>
  </sheetViews>
  <sheetFormatPr baseColWidth="10" defaultRowHeight="16"/>
  <cols>
    <col min="2" max="2" width="15.6640625" bestFit="1" customWidth="1"/>
  </cols>
  <sheetData>
    <row r="1" spans="1:14">
      <c r="A1" t="s">
        <v>4</v>
      </c>
      <c r="B1" t="s">
        <v>5</v>
      </c>
      <c r="C1" t="s">
        <v>6</v>
      </c>
      <c r="D1" t="s">
        <v>7</v>
      </c>
      <c r="E1" t="s">
        <v>17</v>
      </c>
      <c r="F1" t="s">
        <v>8</v>
      </c>
      <c r="G1" t="s">
        <v>9</v>
      </c>
      <c r="H1" t="s">
        <v>18</v>
      </c>
      <c r="I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10</v>
      </c>
      <c r="B2">
        <v>45</v>
      </c>
      <c r="C2">
        <v>76</v>
      </c>
      <c r="D2">
        <v>34</v>
      </c>
      <c r="E2">
        <v>64</v>
      </c>
      <c r="F2">
        <f>SUM(B2:E2)</f>
        <v>219</v>
      </c>
      <c r="G2">
        <f>(F2/400)*100</f>
        <v>54.75</v>
      </c>
      <c r="H2" t="str">
        <f>IF(AND(B2&gt;40,C2&gt;40,D2&gt;40,E2&gt;40),"pass","fail")</f>
        <v>fail</v>
      </c>
      <c r="I2" t="str">
        <f>IF(G2&gt;=90,"A",IF(G2&gt;=80,"B",IF(G2&gt;=70,"C",IF(G2&gt;=60,"D","PROMOTED"))))</f>
        <v>PROMOTED</v>
      </c>
      <c r="K2">
        <v>12000</v>
      </c>
      <c r="L2">
        <v>1.5</v>
      </c>
      <c r="M2">
        <v>9.5</v>
      </c>
      <c r="N2" s="1">
        <f>K2 + (K2 * L2 * M2 / 100)</f>
        <v>13710</v>
      </c>
    </row>
    <row r="3" spans="1:14">
      <c r="A3" t="s">
        <v>11</v>
      </c>
      <c r="B3">
        <v>65</v>
      </c>
      <c r="C3">
        <v>46</v>
      </c>
      <c r="D3">
        <v>85</v>
      </c>
      <c r="E3">
        <v>74</v>
      </c>
      <c r="F3">
        <f>SUM(B3:E3)</f>
        <v>270</v>
      </c>
      <c r="G3">
        <f t="shared" ref="G3:G9" si="0">(F3/400)*100</f>
        <v>67.5</v>
      </c>
      <c r="H3" t="str">
        <f t="shared" ref="H3:H9" si="1">IF(AND(B3&gt;40,C3&gt;40,D3&gt;40,E3&gt;40),"pass","fail")</f>
        <v>pass</v>
      </c>
      <c r="I3" t="str">
        <f t="shared" ref="I3:I9" si="2">IF(G3&gt;=90,"A",IF(G3&gt;=80,"B",IF(G3&gt;=70,"C",IF(G3&gt;=60,"D","PROMOTED"))))</f>
        <v>D</v>
      </c>
      <c r="K3">
        <v>1300</v>
      </c>
      <c r="L3">
        <v>0.75</v>
      </c>
      <c r="M3">
        <v>11.2</v>
      </c>
      <c r="N3" s="1">
        <f t="shared" ref="N3:N5" si="3">K3 + (K3 * L3 * M3 / 100)</f>
        <v>1409.2</v>
      </c>
    </row>
    <row r="4" spans="1:14">
      <c r="A4" t="s">
        <v>12</v>
      </c>
      <c r="B4">
        <v>76</v>
      </c>
      <c r="C4">
        <v>83</v>
      </c>
      <c r="D4">
        <v>64</v>
      </c>
      <c r="E4">
        <v>24</v>
      </c>
      <c r="F4">
        <f>SUM(B4:E4)</f>
        <v>247</v>
      </c>
      <c r="G4">
        <f t="shared" si="0"/>
        <v>61.750000000000007</v>
      </c>
      <c r="H4" t="str">
        <f t="shared" si="1"/>
        <v>fail</v>
      </c>
      <c r="I4" t="str">
        <f t="shared" si="2"/>
        <v>D</v>
      </c>
      <c r="K4">
        <v>180000</v>
      </c>
      <c r="L4">
        <v>6</v>
      </c>
      <c r="M4">
        <v>8.75</v>
      </c>
      <c r="N4" s="1">
        <f t="shared" si="3"/>
        <v>274500</v>
      </c>
    </row>
    <row r="5" spans="1:14">
      <c r="A5" t="s">
        <v>13</v>
      </c>
      <c r="B5">
        <v>75</v>
      </c>
      <c r="C5">
        <v>83</v>
      </c>
      <c r="D5">
        <v>74</v>
      </c>
      <c r="E5">
        <v>75</v>
      </c>
      <c r="F5">
        <f>SUM(B5:E5)</f>
        <v>307</v>
      </c>
      <c r="G5">
        <f t="shared" si="0"/>
        <v>76.75</v>
      </c>
      <c r="H5" t="str">
        <f t="shared" si="1"/>
        <v>pass</v>
      </c>
      <c r="I5" t="str">
        <f t="shared" si="2"/>
        <v>C</v>
      </c>
      <c r="K5">
        <v>300000</v>
      </c>
      <c r="L5">
        <v>9</v>
      </c>
      <c r="M5">
        <v>0.25</v>
      </c>
      <c r="N5" s="1">
        <f t="shared" si="3"/>
        <v>306750</v>
      </c>
    </row>
    <row r="6" spans="1:14">
      <c r="A6" t="s">
        <v>14</v>
      </c>
      <c r="B6">
        <v>47</v>
      </c>
      <c r="C6">
        <v>64</v>
      </c>
      <c r="D6">
        <v>85</v>
      </c>
      <c r="E6">
        <v>85</v>
      </c>
      <c r="F6">
        <f>SUM(B6:E6)</f>
        <v>281</v>
      </c>
      <c r="G6">
        <f t="shared" si="0"/>
        <v>70.25</v>
      </c>
      <c r="H6" t="str">
        <f t="shared" si="1"/>
        <v>pass</v>
      </c>
      <c r="I6" t="str">
        <f t="shared" si="2"/>
        <v>C</v>
      </c>
    </row>
    <row r="7" spans="1:14">
      <c r="A7" t="s">
        <v>13</v>
      </c>
      <c r="B7">
        <v>85</v>
      </c>
      <c r="C7">
        <v>95</v>
      </c>
      <c r="D7">
        <v>35</v>
      </c>
      <c r="E7">
        <v>34</v>
      </c>
      <c r="F7">
        <f>SUM(B7:E7)</f>
        <v>249</v>
      </c>
      <c r="G7">
        <f t="shared" si="0"/>
        <v>62.250000000000007</v>
      </c>
      <c r="H7" t="str">
        <f t="shared" si="1"/>
        <v>fail</v>
      </c>
      <c r="I7" t="str">
        <f t="shared" si="2"/>
        <v>D</v>
      </c>
    </row>
    <row r="8" spans="1:14">
      <c r="A8" t="s">
        <v>15</v>
      </c>
      <c r="B8">
        <v>85</v>
      </c>
      <c r="C8">
        <v>65</v>
      </c>
      <c r="D8">
        <v>75</v>
      </c>
      <c r="E8">
        <v>86</v>
      </c>
      <c r="F8">
        <f>SUM(B8:E8)</f>
        <v>311</v>
      </c>
      <c r="G8">
        <f t="shared" si="0"/>
        <v>77.75</v>
      </c>
      <c r="H8" t="str">
        <f t="shared" si="1"/>
        <v>pass</v>
      </c>
      <c r="I8" t="str">
        <f t="shared" si="2"/>
        <v>C</v>
      </c>
    </row>
    <row r="9" spans="1:14">
      <c r="A9" t="s">
        <v>16</v>
      </c>
      <c r="B9">
        <v>47</v>
      </c>
      <c r="C9">
        <v>35</v>
      </c>
      <c r="D9">
        <v>25</v>
      </c>
      <c r="E9">
        <v>46</v>
      </c>
      <c r="F9">
        <f>SUM(B9:E9)</f>
        <v>153</v>
      </c>
      <c r="G9">
        <f t="shared" si="0"/>
        <v>38.25</v>
      </c>
      <c r="H9" t="str">
        <f t="shared" si="1"/>
        <v>fail</v>
      </c>
      <c r="I9" t="str">
        <f t="shared" si="2"/>
        <v>PROMOTED</v>
      </c>
    </row>
    <row r="12" spans="1:14">
      <c r="A12" t="s">
        <v>24</v>
      </c>
      <c r="B12" t="s">
        <v>25</v>
      </c>
    </row>
    <row r="13" spans="1:14">
      <c r="A13" t="s">
        <v>26</v>
      </c>
      <c r="B13" t="str">
        <f>IF(NOT(A13="red"),"selected","rejected")</f>
        <v>rejected</v>
      </c>
    </row>
    <row r="14" spans="1:14">
      <c r="A14" t="s">
        <v>27</v>
      </c>
      <c r="B14" t="str">
        <f t="shared" ref="B14:B16" si="4">IF(NOT(A14="red"),"selected","rejected")</f>
        <v>selected</v>
      </c>
    </row>
    <row r="15" spans="1:14">
      <c r="A15" t="s">
        <v>28</v>
      </c>
      <c r="B15" t="str">
        <f t="shared" si="4"/>
        <v>selected</v>
      </c>
    </row>
    <row r="16" spans="1:14">
      <c r="A16" t="s">
        <v>29</v>
      </c>
      <c r="B16" t="str">
        <f t="shared" si="4"/>
        <v>selected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hemne</dc:creator>
  <cp:lastModifiedBy>sahil hemne</cp:lastModifiedBy>
  <dcterms:created xsi:type="dcterms:W3CDTF">2026-08-17T09:45:06Z</dcterms:created>
  <dcterms:modified xsi:type="dcterms:W3CDTF">2026-08-17T10:45:37Z</dcterms:modified>
</cp:coreProperties>
</file>