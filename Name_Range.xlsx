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hemne/Desktop/Dmart_sales_Analysis/"/>
    </mc:Choice>
  </mc:AlternateContent>
  <xr:revisionPtr revIDLastSave="0" documentId="8_{3C46D3F9-67DF-E741-A0EF-69E2CC3B054A}" xr6:coauthVersionLast="47" xr6:coauthVersionMax="47" xr10:uidLastSave="{00000000-0000-0000-0000-000000000000}"/>
  <bookViews>
    <workbookView xWindow="1480" yWindow="1660" windowWidth="27240" windowHeight="16160" xr2:uid="{68C8DEC7-BE82-514D-A8B6-38425EA493B5}"/>
  </bookViews>
  <sheets>
    <sheet name="Sheet1" sheetId="1" r:id="rId1"/>
  </sheets>
  <definedNames>
    <definedName name="English_MARKS">Sheet1!$B$2:$B$14</definedName>
    <definedName name="Math_MARKS">Sheet1!$C$2:$C$14</definedName>
    <definedName name="reduced_mark_in_english_by_10">Sheet1!$G$2:$G$14</definedName>
    <definedName name="Sci_MARKS">Sheet1!$D$2:$D$14</definedName>
    <definedName name="STUDENT_NAME">Sheet1!$A$2:$A$14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C16" i="1"/>
  <c r="B16" i="1"/>
  <c r="G17" i="1"/>
  <c r="G2" i="1" a="1"/>
  <c r="G2" i="1" s="1"/>
  <c r="H2" i="1" s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H5" i="1" l="1"/>
  <c r="H10" i="1"/>
  <c r="H9" i="1"/>
  <c r="H4" i="1"/>
  <c r="H8" i="1"/>
  <c r="H7" i="1"/>
  <c r="H14" i="1"/>
  <c r="H6" i="1"/>
  <c r="H13" i="1"/>
  <c r="H12" i="1"/>
  <c r="H11" i="1"/>
  <c r="H3" i="1"/>
  <c r="H1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<sst xmlns="http://schemas.openxmlformats.org/spreadsheetml/2006/main" count="23" uniqueCount="23">
  <si>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 xml:space="preserve">Name </t>
  </si>
  <si>
    <t xml:space="preserve">English </t>
  </si>
  <si>
    <t xml:space="preserve">Math </t>
  </si>
  <si>
    <t>Sci</t>
  </si>
  <si>
    <t xml:space="preserve">Total Marks </t>
  </si>
  <si>
    <t xml:space="preserve">Raj </t>
  </si>
  <si>
    <t>Sahil</t>
  </si>
  <si>
    <t>Prince</t>
  </si>
  <si>
    <t xml:space="preserve">Ahad </t>
  </si>
  <si>
    <t xml:space="preserve">Mayank </t>
  </si>
  <si>
    <t xml:space="preserve">Rinku </t>
  </si>
  <si>
    <t xml:space="preserve">Shreyansh </t>
  </si>
  <si>
    <t xml:space="preserve">Divyani </t>
  </si>
  <si>
    <t xml:space="preserve">Priyansh </t>
  </si>
  <si>
    <t xml:space="preserve">Saloni </t>
  </si>
  <si>
    <t xml:space="preserve">Adarsh </t>
  </si>
  <si>
    <t xml:space="preserve">Abhay </t>
  </si>
  <si>
    <t>Vivek</t>
  </si>
  <si>
    <t>reduced mark in english by 10%</t>
  </si>
  <si>
    <t>Update total marks</t>
  </si>
  <si>
    <t>sum of update total marks</t>
  </si>
  <si>
    <t>Average marks</t>
  </si>
  <si>
    <t>Total marks by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</si>
</sst>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C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rgb="FFC00000"/>
        <name val="Aptos Narrow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0386F-4CC6-644D-BBAC-57C8D60FAFD3}" name="Table1" displayName="Table1" ref="A1:E14" totalsRowShown="0" headerRowDxfId="11" headerRowBorderDxfId="10" tableBorderDxfId="9" totalsRowBorderDxfId="8">
  <autoFilter ref="A1:E14" xr:uid="{BA20386F-4CC6-644D-BBAC-57C8D60FAFD3}"/>
  <tableColumns count="5">
    <tableColumn id="1" xr3:uid="{D6D38F6E-42F9-1641-AA8B-CE19E3AE0AFC}" name="Name " dataDxfId="7"/>
    <tableColumn id="2" xr3:uid="{9F578DC5-93D6-E94A-AC3B-FEB47096A061}" name="English " dataDxfId="6"/>
    <tableColumn id="3" xr3:uid="{4274973F-FB1D-0E4B-8D6C-4C4A1EC83188}" name="Math " dataDxfId="5"/>
    <tableColumn id="4" xr3:uid="{6637D8A2-E405-C54B-ADA3-0F4F4FD8D705}" name="Sci" dataDxfId="4"/>
    <tableColumn id="5" xr3:uid="{4AE6D715-F574-8E47-B0C3-70AA9873E2BF}" name="Total Marks " dataDxfId="3">
      <calculatedColumnFormula>SUM(B2:D2)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039D-19EE-A74C-8263-ABFFD00AC901}">
  <dimension ref="A1:H17"/>
  <sheetViews>
    <sheetView tabSelected="1" zoomScale="106" workbookViewId="0">
      <selection activeCell="C20" sqref="C20"/>
    </sheetView>
  </sheetViews>
  <sheetFormatPr baseColWidth="10" defaultRowHeight="16" x14ac:dyDescent="0.2"/>
  <cols>
    <col min="1" max="1" width="19.33203125" bestFit="1" customWidth="1"/>
    <col min="5" max="5" width="16" bestFit="1" customWidth="1"/>
    <col min="6" max="6" width="12.6640625" bestFit="1" customWidth="1"/>
    <col min="7" max="7" width="26.33203125" bestFit="1" customWidth="1"/>
    <col min="8" max="8" width="16.5" bestFit="1" customWidth="1"/>
  </cols>
  <sheetData>
    <row r="1" spans="1:8" x14ac:dyDescent="0.2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G1" s="11" t="s">
        <v>18</v>
      </c>
      <c r="H1" s="2" t="s">
        <v>19</v>
      </c>
    </row>
    <row r="2" spans="1:8" x14ac:dyDescent="0.2">
      <c r="A2" s="3" t="s">
        <v>5</v>
      </c>
      <c r="B2" s="1">
        <v>56</v>
      </c>
      <c r="C2" s="1">
        <v>87</v>
      </c>
      <c r="D2" s="1">
        <v>97</v>
      </c>
      <c r="E2" s="4">
        <f>SUM(B2:D2)</f>
        <v>240</v>
      </c>
      <c r="G2" s="1" cm="1">
        <f t="array" ref="G2:G14">English_MARKS*0.9</f>
        <v>50.4</v>
      </c>
      <c r="H2" s="1">
        <f>SUM(G2,C2,D2)</f>
        <v>234.4</v>
      </c>
    </row>
    <row r="3" spans="1:8" x14ac:dyDescent="0.2">
      <c r="A3" s="3" t="s">
        <v>6</v>
      </c>
      <c r="B3" s="1">
        <v>76</v>
      </c>
      <c r="C3" s="1">
        <v>97</v>
      </c>
      <c r="D3" s="1">
        <v>89</v>
      </c>
      <c r="E3" s="4">
        <f t="shared" ref="E3:E14" si="0">SUM(B3:D3)</f>
        <v>262</v>
      </c>
      <c r="G3" s="1">
        <v>68.400000000000006</v>
      </c>
      <c r="H3" s="1">
        <f t="shared" ref="H3:H14" si="1">SUM(G3,C3,D3)</f>
        <v>254.4</v>
      </c>
    </row>
    <row r="4" spans="1:8" x14ac:dyDescent="0.2">
      <c r="A4" s="3" t="s">
        <v>17</v>
      </c>
      <c r="B4" s="1">
        <v>95</v>
      </c>
      <c r="C4" s="1">
        <v>69</v>
      </c>
      <c r="D4" s="1">
        <v>78</v>
      </c>
      <c r="E4" s="4">
        <f t="shared" si="0"/>
        <v>242</v>
      </c>
      <c r="G4" s="1">
        <v>85.5</v>
      </c>
      <c r="H4" s="1">
        <f t="shared" si="1"/>
        <v>232.5</v>
      </c>
    </row>
    <row r="5" spans="1:8" x14ac:dyDescent="0.2">
      <c r="A5" s="3" t="s">
        <v>7</v>
      </c>
      <c r="B5" s="1">
        <v>85</v>
      </c>
      <c r="C5" s="1">
        <v>87</v>
      </c>
      <c r="D5" s="1">
        <v>68</v>
      </c>
      <c r="E5" s="4">
        <f t="shared" si="0"/>
        <v>240</v>
      </c>
      <c r="G5" s="1">
        <v>76.5</v>
      </c>
      <c r="H5" s="1">
        <f t="shared" si="1"/>
        <v>231.5</v>
      </c>
    </row>
    <row r="6" spans="1:8" x14ac:dyDescent="0.2">
      <c r="A6" s="3" t="s">
        <v>8</v>
      </c>
      <c r="B6" s="1">
        <v>45</v>
      </c>
      <c r="C6" s="1">
        <v>76</v>
      </c>
      <c r="D6" s="1">
        <v>45</v>
      </c>
      <c r="E6" s="4">
        <f t="shared" si="0"/>
        <v>166</v>
      </c>
      <c r="G6" s="1">
        <v>40.5</v>
      </c>
      <c r="H6" s="1">
        <f t="shared" si="1"/>
        <v>161.5</v>
      </c>
    </row>
    <row r="7" spans="1:8" x14ac:dyDescent="0.2">
      <c r="A7" s="3" t="s">
        <v>9</v>
      </c>
      <c r="B7" s="1">
        <v>43</v>
      </c>
      <c r="C7" s="1">
        <v>88</v>
      </c>
      <c r="D7" s="1">
        <v>78</v>
      </c>
      <c r="E7" s="4">
        <f t="shared" si="0"/>
        <v>209</v>
      </c>
      <c r="G7" s="1">
        <v>38.700000000000003</v>
      </c>
      <c r="H7" s="1">
        <f t="shared" si="1"/>
        <v>204.7</v>
      </c>
    </row>
    <row r="8" spans="1:8" x14ac:dyDescent="0.2">
      <c r="A8" s="3" t="s">
        <v>10</v>
      </c>
      <c r="B8" s="1">
        <v>76</v>
      </c>
      <c r="C8" s="1">
        <v>67</v>
      </c>
      <c r="D8" s="1">
        <v>23</v>
      </c>
      <c r="E8" s="4">
        <f t="shared" si="0"/>
        <v>166</v>
      </c>
      <c r="G8" s="1">
        <v>68.400000000000006</v>
      </c>
      <c r="H8" s="1">
        <f t="shared" si="1"/>
        <v>158.4</v>
      </c>
    </row>
    <row r="9" spans="1:8" x14ac:dyDescent="0.2">
      <c r="A9" s="3" t="s">
        <v>11</v>
      </c>
      <c r="B9" s="1">
        <v>69</v>
      </c>
      <c r="C9" s="1">
        <v>34</v>
      </c>
      <c r="D9" s="1">
        <v>88</v>
      </c>
      <c r="E9" s="4">
        <f t="shared" si="0"/>
        <v>191</v>
      </c>
      <c r="G9" s="1">
        <v>62.1</v>
      </c>
      <c r="H9" s="1">
        <f t="shared" si="1"/>
        <v>184.1</v>
      </c>
    </row>
    <row r="10" spans="1:8" x14ac:dyDescent="0.2">
      <c r="A10" s="3" t="s">
        <v>12</v>
      </c>
      <c r="B10" s="1">
        <v>87</v>
      </c>
      <c r="C10" s="1">
        <v>69</v>
      </c>
      <c r="D10" s="1">
        <v>87</v>
      </c>
      <c r="E10" s="4">
        <f t="shared" si="0"/>
        <v>243</v>
      </c>
      <c r="G10" s="1">
        <v>78.3</v>
      </c>
      <c r="H10" s="1">
        <f t="shared" si="1"/>
        <v>234.3</v>
      </c>
    </row>
    <row r="11" spans="1:8" x14ac:dyDescent="0.2">
      <c r="A11" s="3" t="s">
        <v>13</v>
      </c>
      <c r="B11" s="1">
        <v>97</v>
      </c>
      <c r="C11" s="1">
        <v>85</v>
      </c>
      <c r="D11" s="1">
        <v>96</v>
      </c>
      <c r="E11" s="4">
        <f t="shared" si="0"/>
        <v>278</v>
      </c>
      <c r="G11" s="1">
        <v>87.3</v>
      </c>
      <c r="H11" s="1">
        <f t="shared" si="1"/>
        <v>268.3</v>
      </c>
    </row>
    <row r="12" spans="1:8" x14ac:dyDescent="0.2">
      <c r="A12" s="3" t="s">
        <v>14</v>
      </c>
      <c r="B12" s="1">
        <v>67</v>
      </c>
      <c r="C12" s="1">
        <v>86</v>
      </c>
      <c r="D12" s="1">
        <v>76</v>
      </c>
      <c r="E12" s="4">
        <f t="shared" si="0"/>
        <v>229</v>
      </c>
      <c r="G12" s="1">
        <v>60.300000000000004</v>
      </c>
      <c r="H12" s="1">
        <f t="shared" si="1"/>
        <v>222.3</v>
      </c>
    </row>
    <row r="13" spans="1:8" x14ac:dyDescent="0.2">
      <c r="A13" s="3" t="s">
        <v>15</v>
      </c>
      <c r="B13" s="1">
        <v>36</v>
      </c>
      <c r="C13" s="1">
        <v>56</v>
      </c>
      <c r="D13" s="1">
        <v>75</v>
      </c>
      <c r="E13" s="4">
        <f t="shared" si="0"/>
        <v>167</v>
      </c>
      <c r="G13" s="1">
        <v>32.4</v>
      </c>
      <c r="H13" s="1">
        <f t="shared" si="1"/>
        <v>163.4</v>
      </c>
    </row>
    <row r="14" spans="1:8" x14ac:dyDescent="0.2">
      <c r="A14" s="5" t="s">
        <v>16</v>
      </c>
      <c r="B14" s="6">
        <v>87</v>
      </c>
      <c r="C14" s="6">
        <v>97</v>
      </c>
      <c r="D14" s="6">
        <v>89</v>
      </c>
      <c r="E14" s="7">
        <f t="shared" si="0"/>
        <v>273</v>
      </c>
      <c r="G14" s="1">
        <v>78.3</v>
      </c>
      <c r="H14" s="1">
        <f t="shared" si="1"/>
        <v>264.3</v>
      </c>
    </row>
    <row r="15" spans="1:8" x14ac:dyDescent="0.2">
      <c r="G15" s="11" t="s">
        <v>20</v>
      </c>
      <c r="H15" s="1">
        <f>SUM(H2:H14)</f>
        <v>2814.1000000000004</v>
      </c>
    </row>
    <row r="16" spans="1:8" x14ac:dyDescent="0.2">
      <c r="A16" s="11" t="s">
        <v>22</v>
      </c>
      <c r="B16" s="1">
        <f>SUM(B2:B15)</f>
        <v>919</v>
      </c>
      <c r="C16" s="1">
        <f>SUM(C2:C15)</f>
        <v>998</v>
      </c>
      <c r="D16" s="1">
        <f>SUM(B16:C16)</f>
        <v>1917</v>
      </c>
    </row>
    <row r="17" spans="6:7" x14ac:dyDescent="0.2">
      <c r="F17" s="11" t="s">
        <v>21</v>
      </c>
      <c r="G17" s="1">
        <f>AVERAGE(Table1[[English ]:[Sci]])</f>
        <v>74.512820512820511</v>
      </c>
    </row>
  </sheetData>
  <conditionalFormatting sqref="A1:E14">
    <cfRule type="colorScale" priority="8">
      <colorScale>
        <cfvo type="min"/>
        <cfvo type="max"/>
        <color rgb="FFFF7128"/>
        <color rgb="FFFFEF9C"/>
      </colorScale>
    </cfRule>
  </conditionalFormatting>
  <conditionalFormatting sqref="B2:E14">
    <cfRule type="iconSet" priority="6">
      <iconSet iconSet="4Arrows">
        <cfvo type="percent" val="0"/>
        <cfvo type="num" val="40"/>
        <cfvo type="num" val="70"/>
        <cfvo type="num" val="90"/>
      </iconSet>
    </cfRule>
    <cfRule type="iconSet" priority="7">
      <iconSet iconSet="4Arrows">
        <cfvo type="percent" val="0"/>
        <cfvo type="num" val="0"/>
        <cfvo type="num" val="0"/>
        <cfvo type="num" val="0"/>
      </iconSet>
    </cfRule>
  </conditionalFormatting>
  <conditionalFormatting sqref="B2:B14">
    <cfRule type="colorScale" priority="5">
      <colorScale>
        <cfvo type="min"/>
        <cfvo type="max"/>
        <color rgb="FFC00000"/>
        <color rgb="FFFFEF9C"/>
      </colorScale>
    </cfRule>
  </conditionalFormatting>
  <conditionalFormatting sqref="C2:C14">
    <cfRule type="colorScale" priority="4">
      <colorScale>
        <cfvo type="min"/>
        <cfvo type="max"/>
        <color theme="0"/>
        <color theme="9"/>
      </colorScale>
    </cfRule>
  </conditionalFormatting>
  <conditionalFormatting sqref="B2:D14">
    <cfRule type="aboveAverage" dxfId="1" priority="3"/>
    <cfRule type="iconSet" priority="2">
      <iconSet iconSet="4Arrows">
        <cfvo type="percent" val="0"/>
        <cfvo type="percent" val="25"/>
        <cfvo type="percent" val="50"/>
        <cfvo type="percent" val="75"/>
      </iconSet>
    </cfRule>
    <cfRule type="iconSet" priority="1">
      <iconSet iconSet="4Arrows">
        <cfvo type="percent" val="0"/>
        <cfvo type="num" val="50"/>
        <cfvo type="num" val="50"/>
        <cfvo type="num" val="80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English_MARKS</vt:lpstr>
      <vt:lpstr>Math_MARKS</vt:lpstr>
      <vt:lpstr>reduced_mark_in_english_by_10</vt:lpstr>
      <vt:lpstr>Sci_MARKS</vt:lpstr>
      <vt:lpstr>STUDENT_NAME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hemne</dc:creator>
  <cp:lastModifiedBy>sahil hemne</cp:lastModifiedBy>
  <dcterms:created xsi:type="dcterms:W3CDTF">2026-08-11T14:34:28Z</dcterms:created>
  <dcterms:modified xsi:type="dcterms:W3CDTF">2026-08-12T06:09:27Z</dcterms:modified>
</cp:coreProperties>
</file>